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dfo\GT100\대시보드\"/>
    </mc:Choice>
  </mc:AlternateContent>
  <xr:revisionPtr revIDLastSave="0" documentId="8_{21C12FC5-CA99-459B-B429-4B83E35093B8}" xr6:coauthVersionLast="47" xr6:coauthVersionMax="47" xr10:uidLastSave="{00000000-0000-0000-0000-000000000000}"/>
  <bookViews>
    <workbookView xWindow="-120" yWindow="-120" windowWidth="29040" windowHeight="15720" xr2:uid="{1EDDF5EE-CB37-4FB7-975B-F55557808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1" l="1"/>
  <c r="X21" i="1"/>
  <c r="X20" i="1"/>
  <c r="X19" i="1"/>
  <c r="X18" i="1"/>
  <c r="X17" i="1"/>
  <c r="X16" i="1"/>
  <c r="X9" i="1"/>
  <c r="X8" i="1"/>
  <c r="X7" i="1"/>
  <c r="X6" i="1"/>
  <c r="X5" i="1"/>
  <c r="X4" i="1"/>
  <c r="X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tc={FA515D89-11C1-45B4-85CA-E72D52015E9D}</author>
    <author>tc={447C9989-1D6F-4753-A18A-0C28969DFAAB}</author>
    <author>tc={F8FB7F58-57F3-46EB-BC93-1187572AF5C2}</author>
    <author>tc={EABF9CD9-6735-41A6-B9D6-DBF0BD87C84C}</author>
  </authors>
  <commentList>
    <comment ref="C2" authorId="0" shapeId="0" xr:uid="{FA515D89-11C1-45B4-85CA-E72D52015E9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아티클, 리뷰, 컨퍼런스</t>
      </text>
    </comment>
    <comment ref="H2" authorId="1" shapeId="0" xr:uid="{447C9989-1D6F-4753-A18A-0C28969DFA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23년 기준, 24년 -로 표기됨</t>
      </text>
    </comment>
    <comment ref="W2" authorId="2" shapeId="0" xr:uid="{F8FB7F58-57F3-46EB-BC93-1187572AF5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각 엔티티별로 따로 수집. compare에서 확인불가</t>
      </text>
    </comment>
    <comment ref="Z2" authorId="3" shapeId="0" xr:uid="{EABF9CD9-6735-41A6-B9D6-DBF0BD87C84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엔티티마다 직접 들어가야함(compare에 없음)</t>
      </text>
    </comment>
  </commentList>
</comments>
</file>

<file path=xl/sharedStrings.xml><?xml version="1.0" encoding="utf-8"?>
<sst xmlns="http://schemas.openxmlformats.org/spreadsheetml/2006/main" count="79" uniqueCount="40">
  <si>
    <t>영향력(Impact)</t>
  </si>
  <si>
    <t>우수성(Excellence)</t>
  </si>
  <si>
    <t>공동협력(Collaboration)</t>
  </si>
  <si>
    <t>공공성 및 개방성
(Public Engagement and Openness)</t>
  </si>
  <si>
    <t>지속성 (Sustainability, SDGs)</t>
  </si>
  <si>
    <t>THE 랭킹</t>
    <phoneticPr fontId="1" type="noConversion"/>
  </si>
  <si>
    <t>논문수</t>
  </si>
  <si>
    <t>총인용수</t>
  </si>
  <si>
    <t>논문당 평균 인용수</t>
  </si>
  <si>
    <t>FWCI</t>
  </si>
  <si>
    <t>피인용 논문 비율</t>
  </si>
  <si>
    <t>매체 노출 및 분야 다양성</t>
  </si>
  <si>
    <t>상위 1% 논문 수</t>
    <phoneticPr fontId="1" type="noConversion"/>
  </si>
  <si>
    <t>상위 1% 논문 비율</t>
    <phoneticPr fontId="1" type="noConversion"/>
  </si>
  <si>
    <t>상위 10% 논문 수</t>
    <phoneticPr fontId="1" type="noConversion"/>
  </si>
  <si>
    <t>상위 10% 논문 비율</t>
    <phoneticPr fontId="1" type="noConversion"/>
  </si>
  <si>
    <t>상위 10% 저널 논문 수</t>
    <phoneticPr fontId="1" type="noConversion"/>
  </si>
  <si>
    <t>상위 10% 저널 논문 비율</t>
    <phoneticPr fontId="1" type="noConversion"/>
  </si>
  <si>
    <t>Q1 저널 논문 수</t>
    <phoneticPr fontId="1" type="noConversion"/>
  </si>
  <si>
    <t>Q1 저널 논문 비율</t>
    <phoneticPr fontId="1" type="noConversion"/>
  </si>
  <si>
    <t>국제 공동연구 논문 수</t>
    <phoneticPr fontId="1" type="noConversion"/>
  </si>
  <si>
    <t>국제 공동연구 논문 비율</t>
    <phoneticPr fontId="1" type="noConversion"/>
  </si>
  <si>
    <t>국제 공동연구 FWCI</t>
  </si>
  <si>
    <t>국내 공동연구 논문 수</t>
    <phoneticPr fontId="1" type="noConversion"/>
  </si>
  <si>
    <t>국내 공동연구 논문 비율</t>
    <phoneticPr fontId="1" type="noConversion"/>
  </si>
  <si>
    <t>인용 국가 수</t>
  </si>
  <si>
    <t>오픈 액세스 논문 수</t>
    <phoneticPr fontId="1" type="noConversion"/>
  </si>
  <si>
    <t>오픈 액세스 논문 비율</t>
    <phoneticPr fontId="1" type="noConversion"/>
  </si>
  <si>
    <t>열람 수</t>
  </si>
  <si>
    <t>미디어 인용 수</t>
    <phoneticPr fontId="1" type="noConversion"/>
  </si>
  <si>
    <t>주제 분야 수</t>
  </si>
  <si>
    <t>THE Impact Rankings
QS Sustainability</t>
    <phoneticPr fontId="1" type="noConversion"/>
  </si>
  <si>
    <t>전북대</t>
    <phoneticPr fontId="1" type="noConversion"/>
  </si>
  <si>
    <t>고려대</t>
  </si>
  <si>
    <t>경북대</t>
  </si>
  <si>
    <t>경희대</t>
  </si>
  <si>
    <t>세종대</t>
  </si>
  <si>
    <t>성균관대</t>
  </si>
  <si>
    <t>영남대</t>
  </si>
  <si>
    <t>5개년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</si>
</sst>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3" xfId="0" applyBorder="1">
      <alignment vertical="center"/>
    </xf>
    <xf numFmtId="3" fontId="0" fillId="0" borderId="14" xfId="0" applyNumberFormat="1" applyBorder="1">
      <alignment vertical="center"/>
    </xf>
    <xf numFmtId="3" fontId="0" fillId="0" borderId="15" xfId="0" applyNumberFormat="1" applyBorder="1">
      <alignment vertical="center"/>
    </xf>
    <xf numFmtId="0" fontId="2" fillId="0" borderId="0" xfId="0" applyFont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3" fontId="0" fillId="0" borderId="18" xfId="0" applyNumberFormat="1" applyBorder="1">
      <alignment vertical="center"/>
    </xf>
    <xf numFmtId="0" fontId="0" fillId="0" borderId="19" xfId="0" applyBorder="1">
      <alignment vertical="center"/>
    </xf>
    <xf numFmtId="3" fontId="0" fillId="0" borderId="20" xfId="0" applyNumberFormat="1" applyBorder="1">
      <alignment vertical="center"/>
    </xf>
    <xf numFmtId="3" fontId="0" fillId="0" borderId="21" xfId="0" applyNumberFormat="1" applyBorder="1">
      <alignment vertical="center"/>
    </xf>
    <xf numFmtId="0" fontId="2" fillId="0" borderId="22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3" fontId="0" fillId="0" borderId="25" xfId="0" applyNumberFormat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송아름" id="{D5295D37-E537-4358-BCA4-0617BF489E53}" userId="송아름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11-17T01:09:38.53" personId="{D5295D37-E537-4358-BCA4-0617BF489E53}" id="{FA515D89-11C1-45B4-85CA-E72D52015E9D}">
    <text>아티클, 리뷰, 컨퍼런스</text>
  </threadedComment>
  <threadedComment ref="H2" dT="2025-11-17T01:38:58.63" personId="{D5295D37-E537-4358-BCA4-0617BF489E53}" id="{447C9989-1D6F-4753-A18A-0C28969DFAAB}">
    <text>23년 기준, 24년 -로 표기됨</text>
  </threadedComment>
  <threadedComment ref="W2" dT="2025-11-17T01:39:31.58" personId="{D5295D37-E537-4358-BCA4-0617BF489E53}" id="{F8FB7F58-57F3-46EB-BC93-1187572AF5C2}">
    <text>각 엔티티별로 따로 수집. compare에서 확인불가</text>
  </threadedComment>
  <threadedComment ref="Z2" dT="2025-11-17T01:38:13.95" personId="{D5295D37-E537-4358-BCA4-0617BF489E53}" id="{EABF9CD9-6735-41A6-B9D6-DBF0BD87C84C}">
    <text>엔티티마다 직접 들어가야함(compare에 없음)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B227-F525-4D3D-A1CB-3905C8F5EE5D}">
  <dimension ref="A1:AB22"/>
  <sheetViews>
    <sheetView tabSelected="1" workbookViewId="0">
      <selection activeCell="AB2" sqref="AB2"/>
    </sheetView>
  </sheetViews>
  <sheetFormatPr defaultRowHeight="17.399999999999999" x14ac:dyDescent="0.4"/>
  <sheetData>
    <row r="1" spans="1:28" x14ac:dyDescent="0.4">
      <c r="B1" s="1"/>
      <c r="C1" s="2" t="s">
        <v>0</v>
      </c>
      <c r="D1" s="3"/>
      <c r="E1" s="3"/>
      <c r="F1" s="3"/>
      <c r="G1" s="3"/>
      <c r="H1" s="4"/>
      <c r="I1" s="5" t="s">
        <v>1</v>
      </c>
      <c r="J1" s="6"/>
      <c r="K1" s="6"/>
      <c r="L1" s="6"/>
      <c r="M1" s="6"/>
      <c r="N1" s="6"/>
      <c r="O1" s="6"/>
      <c r="P1" s="4"/>
      <c r="Q1" s="2" t="s">
        <v>2</v>
      </c>
      <c r="R1" s="3"/>
      <c r="S1" s="3"/>
      <c r="T1" s="3"/>
      <c r="U1" s="3"/>
      <c r="V1" s="4"/>
      <c r="W1" s="7" t="s">
        <v>3</v>
      </c>
      <c r="X1" s="8"/>
      <c r="Y1" s="8"/>
      <c r="Z1" s="8"/>
      <c r="AA1" s="9"/>
      <c r="AB1" s="10" t="s">
        <v>4</v>
      </c>
    </row>
    <row r="2" spans="1:28" x14ac:dyDescent="0.4">
      <c r="A2" s="11">
        <v>2024</v>
      </c>
      <c r="B2" s="12" t="s">
        <v>5</v>
      </c>
      <c r="C2" s="13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5" t="s">
        <v>11</v>
      </c>
      <c r="I2" s="13" t="s">
        <v>12</v>
      </c>
      <c r="J2" s="14" t="s">
        <v>13</v>
      </c>
      <c r="K2" s="14" t="s">
        <v>14</v>
      </c>
      <c r="L2" s="14" t="s">
        <v>15</v>
      </c>
      <c r="M2" s="14" t="s">
        <v>16</v>
      </c>
      <c r="N2" s="14" t="s">
        <v>17</v>
      </c>
      <c r="O2" s="14" t="s">
        <v>18</v>
      </c>
      <c r="P2" s="15" t="s">
        <v>19</v>
      </c>
      <c r="Q2" s="13" t="s">
        <v>20</v>
      </c>
      <c r="R2" s="14" t="s">
        <v>21</v>
      </c>
      <c r="S2" s="14" t="s">
        <v>22</v>
      </c>
      <c r="T2" s="14" t="s">
        <v>23</v>
      </c>
      <c r="U2" s="14" t="s">
        <v>24</v>
      </c>
      <c r="V2" s="15" t="s">
        <v>25</v>
      </c>
      <c r="W2" s="13" t="s">
        <v>26</v>
      </c>
      <c r="X2" s="14" t="s">
        <v>27</v>
      </c>
      <c r="Y2" s="14" t="s">
        <v>28</v>
      </c>
      <c r="Z2" s="14" t="s">
        <v>29</v>
      </c>
      <c r="AA2" s="15" t="s">
        <v>30</v>
      </c>
      <c r="AB2" s="16" t="s">
        <v>31</v>
      </c>
    </row>
    <row r="3" spans="1:28" x14ac:dyDescent="0.4">
      <c r="A3" t="s">
        <v>32</v>
      </c>
      <c r="B3" s="17"/>
      <c r="C3" s="18">
        <v>2412</v>
      </c>
      <c r="D3" s="19">
        <v>12498</v>
      </c>
      <c r="E3" s="20">
        <v>5.2</v>
      </c>
      <c r="F3" s="21">
        <v>1.1000000000000001</v>
      </c>
      <c r="G3">
        <v>76.900000000000006</v>
      </c>
      <c r="H3" s="22">
        <v>41.4</v>
      </c>
      <c r="I3" s="23">
        <v>37</v>
      </c>
      <c r="J3">
        <v>1.5</v>
      </c>
      <c r="K3">
        <v>366</v>
      </c>
      <c r="L3">
        <v>15.2</v>
      </c>
      <c r="M3" s="19">
        <v>886</v>
      </c>
      <c r="N3">
        <v>37.5</v>
      </c>
      <c r="O3" s="19">
        <v>1595</v>
      </c>
      <c r="P3" s="22">
        <v>67.400000000000006</v>
      </c>
      <c r="Q3" s="18">
        <v>786</v>
      </c>
      <c r="R3">
        <v>32.6</v>
      </c>
      <c r="S3">
        <v>0.75</v>
      </c>
      <c r="T3" s="19">
        <v>1040</v>
      </c>
      <c r="U3">
        <v>43.1</v>
      </c>
      <c r="V3" s="22">
        <v>142</v>
      </c>
      <c r="W3" s="24">
        <v>1282</v>
      </c>
      <c r="X3" s="21">
        <f>ROUND(W3/C3*100,2)</f>
        <v>53.15</v>
      </c>
      <c r="Y3" s="19">
        <v>36985</v>
      </c>
      <c r="Z3" s="21">
        <v>8</v>
      </c>
      <c r="AA3" s="22">
        <v>286</v>
      </c>
    </row>
    <row r="4" spans="1:28" x14ac:dyDescent="0.4">
      <c r="A4" t="s">
        <v>33</v>
      </c>
      <c r="B4" s="17"/>
      <c r="C4" s="18">
        <v>7446</v>
      </c>
      <c r="D4" s="19">
        <v>58897</v>
      </c>
      <c r="E4" s="20">
        <v>7.9</v>
      </c>
      <c r="F4" s="21">
        <v>1.89</v>
      </c>
      <c r="G4">
        <v>80.3</v>
      </c>
      <c r="H4" s="22">
        <v>119.3</v>
      </c>
      <c r="I4" s="23">
        <v>193</v>
      </c>
      <c r="J4">
        <v>2.6</v>
      </c>
      <c r="K4">
        <v>1450</v>
      </c>
      <c r="L4">
        <v>19.5</v>
      </c>
      <c r="M4" s="19">
        <v>3392</v>
      </c>
      <c r="N4">
        <v>47.5</v>
      </c>
      <c r="O4" s="19">
        <v>5389</v>
      </c>
      <c r="P4" s="22">
        <v>75.5</v>
      </c>
      <c r="Q4" s="18">
        <v>2770</v>
      </c>
      <c r="R4">
        <v>37.200000000000003</v>
      </c>
      <c r="S4">
        <v>0.87</v>
      </c>
      <c r="T4" s="19">
        <v>3328</v>
      </c>
      <c r="U4">
        <v>44.7</v>
      </c>
      <c r="V4" s="22">
        <v>181</v>
      </c>
      <c r="W4" s="24">
        <v>3453</v>
      </c>
      <c r="X4" s="21">
        <f t="shared" ref="X4:X9" si="0">ROUND(W4/C4*100,2)</f>
        <v>46.37</v>
      </c>
      <c r="Y4" s="19">
        <v>179753</v>
      </c>
      <c r="Z4" s="21"/>
      <c r="AA4" s="22">
        <v>307</v>
      </c>
    </row>
    <row r="5" spans="1:28" x14ac:dyDescent="0.4">
      <c r="A5" t="s">
        <v>34</v>
      </c>
      <c r="B5" s="17"/>
      <c r="C5" s="18">
        <v>4649</v>
      </c>
      <c r="D5" s="19">
        <v>42182</v>
      </c>
      <c r="E5" s="20">
        <v>9.1</v>
      </c>
      <c r="F5" s="21">
        <v>2.2999999999999998</v>
      </c>
      <c r="G5">
        <v>82.7</v>
      </c>
      <c r="H5" s="22">
        <v>71.8</v>
      </c>
      <c r="I5" s="23">
        <v>137</v>
      </c>
      <c r="J5">
        <v>2.9</v>
      </c>
      <c r="K5">
        <v>971</v>
      </c>
      <c r="L5">
        <v>20.9</v>
      </c>
      <c r="M5" s="19">
        <v>2080</v>
      </c>
      <c r="N5">
        <v>45.9</v>
      </c>
      <c r="O5" s="19">
        <v>3473</v>
      </c>
      <c r="P5" s="22">
        <v>76.599999999999994</v>
      </c>
      <c r="Q5" s="18">
        <v>2159</v>
      </c>
      <c r="R5">
        <v>46.4</v>
      </c>
      <c r="S5">
        <v>1.06</v>
      </c>
      <c r="T5" s="19">
        <v>1641</v>
      </c>
      <c r="U5">
        <v>35.299999999999997</v>
      </c>
      <c r="V5" s="22">
        <v>179</v>
      </c>
      <c r="W5" s="24">
        <v>1985</v>
      </c>
      <c r="X5" s="21">
        <f>ROUND(W6/C5*100,2)</f>
        <v>49.97</v>
      </c>
      <c r="Y5" s="19">
        <v>124640</v>
      </c>
      <c r="Z5" s="21"/>
      <c r="AA5" s="22">
        <v>302</v>
      </c>
    </row>
    <row r="6" spans="1:28" x14ac:dyDescent="0.4">
      <c r="A6" t="s">
        <v>35</v>
      </c>
      <c r="B6" s="17"/>
      <c r="C6" s="18">
        <v>3867</v>
      </c>
      <c r="D6" s="19">
        <v>20837</v>
      </c>
      <c r="E6" s="20">
        <v>5.4</v>
      </c>
      <c r="F6" s="21">
        <v>1.17</v>
      </c>
      <c r="G6">
        <v>74.7</v>
      </c>
      <c r="H6" s="22">
        <v>61.8</v>
      </c>
      <c r="I6" s="23">
        <v>52</v>
      </c>
      <c r="J6">
        <v>1.3</v>
      </c>
      <c r="K6">
        <v>518</v>
      </c>
      <c r="L6">
        <v>13.4</v>
      </c>
      <c r="M6" s="19">
        <v>1328</v>
      </c>
      <c r="N6">
        <v>35.700000000000003</v>
      </c>
      <c r="O6" s="19">
        <v>2410</v>
      </c>
      <c r="P6" s="22">
        <v>64.8</v>
      </c>
      <c r="Q6" s="18">
        <v>1318</v>
      </c>
      <c r="R6">
        <v>34.1</v>
      </c>
      <c r="S6">
        <v>0.78</v>
      </c>
      <c r="T6" s="19">
        <v>1558</v>
      </c>
      <c r="U6">
        <v>40.299999999999997</v>
      </c>
      <c r="V6" s="22">
        <v>154</v>
      </c>
      <c r="W6" s="24">
        <v>2323</v>
      </c>
      <c r="X6" s="21">
        <f>ROUND(W5/C6*100,2)</f>
        <v>51.33</v>
      </c>
      <c r="Y6" s="19">
        <v>68692</v>
      </c>
      <c r="Z6" s="21"/>
      <c r="AA6" s="22">
        <v>294</v>
      </c>
    </row>
    <row r="7" spans="1:28" x14ac:dyDescent="0.4">
      <c r="A7" t="s">
        <v>36</v>
      </c>
      <c r="B7" s="17"/>
      <c r="C7" s="18">
        <v>2440</v>
      </c>
      <c r="D7" s="19">
        <v>21726</v>
      </c>
      <c r="E7" s="20">
        <v>8.9</v>
      </c>
      <c r="F7" s="21">
        <v>1.63</v>
      </c>
      <c r="G7">
        <v>83.8</v>
      </c>
      <c r="H7" s="22">
        <v>1.2</v>
      </c>
      <c r="I7" s="23">
        <v>101</v>
      </c>
      <c r="J7">
        <v>4.0999999999999996</v>
      </c>
      <c r="K7">
        <v>649</v>
      </c>
      <c r="L7">
        <v>26.6</v>
      </c>
      <c r="M7" s="19">
        <v>1101</v>
      </c>
      <c r="N7">
        <v>47.8</v>
      </c>
      <c r="O7" s="19">
        <v>1829</v>
      </c>
      <c r="P7" s="22">
        <v>79.400000000000006</v>
      </c>
      <c r="Q7" s="18">
        <v>1497</v>
      </c>
      <c r="R7">
        <v>61.4</v>
      </c>
      <c r="S7">
        <v>1.36</v>
      </c>
      <c r="T7" s="19">
        <v>568</v>
      </c>
      <c r="U7">
        <v>23.3</v>
      </c>
      <c r="V7" s="22">
        <v>146</v>
      </c>
      <c r="W7" s="24">
        <v>1152</v>
      </c>
      <c r="X7" s="21">
        <f>ROUND(W6/C7*100,2)</f>
        <v>95.2</v>
      </c>
      <c r="Y7" s="19">
        <v>71250</v>
      </c>
      <c r="Z7" s="21"/>
      <c r="AA7" s="22">
        <v>249</v>
      </c>
    </row>
    <row r="8" spans="1:28" x14ac:dyDescent="0.4">
      <c r="A8" t="s">
        <v>37</v>
      </c>
      <c r="B8" s="17"/>
      <c r="C8" s="18">
        <v>6808</v>
      </c>
      <c r="D8" s="19">
        <v>58391</v>
      </c>
      <c r="E8" s="20">
        <v>8.6</v>
      </c>
      <c r="F8" s="21">
        <v>2.27</v>
      </c>
      <c r="G8">
        <v>80.2</v>
      </c>
      <c r="H8" s="22">
        <v>59</v>
      </c>
      <c r="I8" s="23">
        <v>189</v>
      </c>
      <c r="J8">
        <v>2.8</v>
      </c>
      <c r="K8">
        <v>1289</v>
      </c>
      <c r="L8">
        <v>18.899999999999999</v>
      </c>
      <c r="M8" s="19">
        <v>2839</v>
      </c>
      <c r="N8">
        <v>43.4</v>
      </c>
      <c r="O8" s="19">
        <v>4788</v>
      </c>
      <c r="P8" s="22">
        <v>73.099999999999994</v>
      </c>
      <c r="Q8" s="18">
        <v>2584</v>
      </c>
      <c r="R8">
        <v>38</v>
      </c>
      <c r="S8">
        <v>0.84</v>
      </c>
      <c r="T8" s="19">
        <v>3333</v>
      </c>
      <c r="U8">
        <v>49</v>
      </c>
      <c r="V8" s="22">
        <v>183</v>
      </c>
      <c r="W8" s="24">
        <v>3122</v>
      </c>
      <c r="X8" s="21">
        <f t="shared" si="0"/>
        <v>45.86</v>
      </c>
      <c r="Y8" s="19">
        <v>165185</v>
      </c>
      <c r="Z8" s="21"/>
      <c r="AA8" s="22">
        <v>296</v>
      </c>
    </row>
    <row r="9" spans="1:28" ht="18" thickBot="1" x14ac:dyDescent="0.45">
      <c r="A9" t="s">
        <v>38</v>
      </c>
      <c r="B9" s="25"/>
      <c r="C9" s="26">
        <v>2893</v>
      </c>
      <c r="D9" s="27">
        <v>26416</v>
      </c>
      <c r="E9" s="28">
        <v>9.1</v>
      </c>
      <c r="F9" s="29">
        <v>1.52</v>
      </c>
      <c r="G9" s="30">
        <v>87.2</v>
      </c>
      <c r="H9" s="31">
        <v>31.3</v>
      </c>
      <c r="I9" s="32">
        <v>109</v>
      </c>
      <c r="J9" s="30">
        <v>3.8</v>
      </c>
      <c r="K9" s="30">
        <v>885</v>
      </c>
      <c r="L9" s="30">
        <v>30.6</v>
      </c>
      <c r="M9" s="27">
        <v>959</v>
      </c>
      <c r="N9" s="30">
        <v>33.799999999999997</v>
      </c>
      <c r="O9" s="27">
        <v>2017</v>
      </c>
      <c r="P9" s="31">
        <v>71</v>
      </c>
      <c r="Q9" s="26">
        <v>1895</v>
      </c>
      <c r="R9" s="30">
        <v>65.5</v>
      </c>
      <c r="S9" s="30">
        <v>1.55</v>
      </c>
      <c r="T9" s="27">
        <v>570</v>
      </c>
      <c r="U9" s="30">
        <v>19.7</v>
      </c>
      <c r="V9" s="31">
        <v>150</v>
      </c>
      <c r="W9" s="33">
        <v>1003</v>
      </c>
      <c r="X9" s="29">
        <f t="shared" si="0"/>
        <v>34.67</v>
      </c>
      <c r="Y9" s="27">
        <v>51879</v>
      </c>
      <c r="Z9" s="29"/>
      <c r="AA9" s="31">
        <v>266</v>
      </c>
    </row>
    <row r="13" spans="1:28" ht="18" thickBot="1" x14ac:dyDescent="0.45"/>
    <row r="14" spans="1:28" x14ac:dyDescent="0.4">
      <c r="B14" s="1"/>
      <c r="C14" s="2" t="s">
        <v>0</v>
      </c>
      <c r="D14" s="3"/>
      <c r="E14" s="3"/>
      <c r="F14" s="3"/>
      <c r="G14" s="3"/>
      <c r="H14" s="4"/>
      <c r="I14" s="5" t="s">
        <v>1</v>
      </c>
      <c r="J14" s="6"/>
      <c r="K14" s="6"/>
      <c r="L14" s="6"/>
      <c r="M14" s="6"/>
      <c r="N14" s="6"/>
      <c r="O14" s="6"/>
      <c r="P14" s="4"/>
      <c r="Q14" s="2" t="s">
        <v>2</v>
      </c>
      <c r="R14" s="3"/>
      <c r="S14" s="3"/>
      <c r="T14" s="3"/>
      <c r="U14" s="3"/>
      <c r="V14" s="4"/>
      <c r="W14" s="7" t="s">
        <v>3</v>
      </c>
      <c r="X14" s="8"/>
      <c r="Y14" s="8"/>
      <c r="Z14" s="8"/>
      <c r="AA14" s="9"/>
      <c r="AB14" s="34" t="s">
        <v>4</v>
      </c>
    </row>
    <row r="15" spans="1:28" x14ac:dyDescent="0.4">
      <c r="A15" s="11" t="s">
        <v>39</v>
      </c>
      <c r="B15" s="12" t="s">
        <v>5</v>
      </c>
      <c r="C15" s="13" t="s">
        <v>6</v>
      </c>
      <c r="D15" s="14" t="s">
        <v>7</v>
      </c>
      <c r="E15" s="14" t="s">
        <v>8</v>
      </c>
      <c r="F15" s="14" t="s">
        <v>9</v>
      </c>
      <c r="G15" s="14" t="s">
        <v>10</v>
      </c>
      <c r="H15" s="15" t="s">
        <v>11</v>
      </c>
      <c r="I15" s="13" t="s">
        <v>12</v>
      </c>
      <c r="J15" s="14" t="s">
        <v>13</v>
      </c>
      <c r="K15" s="14" t="s">
        <v>14</v>
      </c>
      <c r="L15" s="14" t="s">
        <v>15</v>
      </c>
      <c r="M15" s="14" t="s">
        <v>16</v>
      </c>
      <c r="N15" s="14" t="s">
        <v>17</v>
      </c>
      <c r="O15" s="14" t="s">
        <v>18</v>
      </c>
      <c r="P15" s="15" t="s">
        <v>19</v>
      </c>
      <c r="Q15" s="13" t="s">
        <v>20</v>
      </c>
      <c r="R15" s="14" t="s">
        <v>21</v>
      </c>
      <c r="S15" s="14" t="s">
        <v>22</v>
      </c>
      <c r="T15" s="14" t="s">
        <v>23</v>
      </c>
      <c r="U15" s="14" t="s">
        <v>24</v>
      </c>
      <c r="V15" s="15" t="s">
        <v>25</v>
      </c>
      <c r="W15" s="13" t="s">
        <v>26</v>
      </c>
      <c r="X15" s="14" t="s">
        <v>27</v>
      </c>
      <c r="Y15" s="14" t="s">
        <v>28</v>
      </c>
      <c r="Z15" s="14" t="s">
        <v>29</v>
      </c>
      <c r="AA15" s="15" t="s">
        <v>30</v>
      </c>
      <c r="AB15" s="35" t="s">
        <v>31</v>
      </c>
    </row>
    <row r="16" spans="1:28" x14ac:dyDescent="0.4">
      <c r="A16" t="s">
        <v>32</v>
      </c>
      <c r="B16" s="17"/>
      <c r="C16" s="18">
        <v>11565</v>
      </c>
      <c r="D16" s="19">
        <v>166603</v>
      </c>
      <c r="E16" s="20">
        <v>14.4</v>
      </c>
      <c r="F16" s="21">
        <v>1.0900000000000001</v>
      </c>
      <c r="G16">
        <v>88.4</v>
      </c>
      <c r="H16" s="22">
        <v>251</v>
      </c>
      <c r="I16" s="23">
        <v>146</v>
      </c>
      <c r="J16">
        <v>1.3</v>
      </c>
      <c r="K16">
        <v>1686</v>
      </c>
      <c r="L16">
        <v>14.6</v>
      </c>
      <c r="M16" s="19">
        <v>3699</v>
      </c>
      <c r="N16">
        <v>33</v>
      </c>
      <c r="O16" s="19">
        <v>6795</v>
      </c>
      <c r="P16" s="22">
        <v>60.6</v>
      </c>
      <c r="Q16" s="18">
        <v>3641</v>
      </c>
      <c r="R16">
        <v>31.5</v>
      </c>
      <c r="S16">
        <v>0.72</v>
      </c>
      <c r="T16" s="19">
        <v>5040</v>
      </c>
      <c r="U16">
        <v>43.6</v>
      </c>
      <c r="V16" s="22">
        <v>194</v>
      </c>
      <c r="W16" s="24">
        <v>6020</v>
      </c>
      <c r="X16" s="21">
        <f>ROUND(W16/C16*100,2)</f>
        <v>52.05</v>
      </c>
      <c r="Y16" s="19">
        <v>278317</v>
      </c>
      <c r="Z16" s="21"/>
      <c r="AA16" s="22">
        <v>313</v>
      </c>
    </row>
    <row r="17" spans="1:27" x14ac:dyDescent="0.4">
      <c r="A17" t="s">
        <v>33</v>
      </c>
      <c r="B17" s="17"/>
      <c r="C17" s="18">
        <v>32962</v>
      </c>
      <c r="D17" s="19">
        <v>642663</v>
      </c>
      <c r="E17" s="20">
        <v>19.5</v>
      </c>
      <c r="F17" s="21">
        <v>1.49</v>
      </c>
      <c r="G17">
        <v>90.2</v>
      </c>
      <c r="H17" s="22">
        <v>534.9</v>
      </c>
      <c r="I17" s="23">
        <v>798</v>
      </c>
      <c r="J17">
        <v>2.4</v>
      </c>
      <c r="K17">
        <v>5829</v>
      </c>
      <c r="L17">
        <v>17.7</v>
      </c>
      <c r="M17" s="19">
        <v>13568</v>
      </c>
      <c r="N17">
        <v>43.7</v>
      </c>
      <c r="O17" s="19">
        <v>21920</v>
      </c>
      <c r="P17" s="22">
        <v>70.599999999999994</v>
      </c>
      <c r="Q17" s="18">
        <v>10313</v>
      </c>
      <c r="R17">
        <v>31.3</v>
      </c>
      <c r="S17">
        <v>0.73</v>
      </c>
      <c r="T17" s="19">
        <v>15848</v>
      </c>
      <c r="U17">
        <v>48.1</v>
      </c>
      <c r="V17" s="22">
        <v>216</v>
      </c>
      <c r="W17" s="24">
        <v>15977</v>
      </c>
      <c r="X17" s="21">
        <f t="shared" ref="X17:X22" si="1">ROUND(W17/C17*100,2)</f>
        <v>48.47</v>
      </c>
      <c r="Y17" s="19">
        <v>1031210</v>
      </c>
      <c r="Z17" s="21"/>
      <c r="AA17" s="22">
        <v>320</v>
      </c>
    </row>
    <row r="18" spans="1:27" x14ac:dyDescent="0.4">
      <c r="A18" t="s">
        <v>34</v>
      </c>
      <c r="B18" s="17"/>
      <c r="C18" s="18">
        <v>20587</v>
      </c>
      <c r="D18" s="19">
        <v>395714</v>
      </c>
      <c r="E18" s="20">
        <v>19.2</v>
      </c>
      <c r="F18" s="21">
        <v>1.63</v>
      </c>
      <c r="G18">
        <v>91.1</v>
      </c>
      <c r="H18" s="22">
        <v>539.6</v>
      </c>
      <c r="I18" s="23">
        <v>476</v>
      </c>
      <c r="J18">
        <v>2.2999999999999998</v>
      </c>
      <c r="K18">
        <v>3621</v>
      </c>
      <c r="L18">
        <v>17.600000000000001</v>
      </c>
      <c r="M18" s="19">
        <v>7549</v>
      </c>
      <c r="N18">
        <v>38.200000000000003</v>
      </c>
      <c r="O18" s="19">
        <v>13702</v>
      </c>
      <c r="P18" s="22">
        <v>69.3</v>
      </c>
      <c r="Q18" s="18">
        <v>7724</v>
      </c>
      <c r="R18">
        <v>37.5</v>
      </c>
      <c r="S18">
        <v>0.85</v>
      </c>
      <c r="T18" s="19">
        <v>8123</v>
      </c>
      <c r="U18">
        <v>39.5</v>
      </c>
      <c r="V18" s="22">
        <v>215</v>
      </c>
      <c r="W18" s="24">
        <v>10319</v>
      </c>
      <c r="X18" s="21">
        <f t="shared" si="1"/>
        <v>50.12</v>
      </c>
      <c r="Y18" s="19">
        <v>696433</v>
      </c>
      <c r="Z18" s="21"/>
      <c r="AA18" s="22">
        <v>317</v>
      </c>
    </row>
    <row r="19" spans="1:27" x14ac:dyDescent="0.4">
      <c r="A19" t="s">
        <v>35</v>
      </c>
      <c r="B19" s="17"/>
      <c r="C19" s="18">
        <v>19039</v>
      </c>
      <c r="D19" s="19">
        <v>268435</v>
      </c>
      <c r="E19" s="20">
        <v>14.1</v>
      </c>
      <c r="F19" s="21">
        <v>1.1100000000000001</v>
      </c>
      <c r="G19">
        <v>87.6</v>
      </c>
      <c r="H19" s="22">
        <v>347.1</v>
      </c>
      <c r="I19" s="23">
        <v>250</v>
      </c>
      <c r="J19">
        <v>1.3</v>
      </c>
      <c r="K19">
        <v>2530</v>
      </c>
      <c r="L19">
        <v>13.3</v>
      </c>
      <c r="M19" s="19">
        <v>5568</v>
      </c>
      <c r="N19">
        <v>30.7</v>
      </c>
      <c r="O19" s="19">
        <v>10549</v>
      </c>
      <c r="P19" s="22">
        <v>58.2</v>
      </c>
      <c r="Q19" s="18">
        <v>6283</v>
      </c>
      <c r="R19">
        <v>33</v>
      </c>
      <c r="S19">
        <v>0.74</v>
      </c>
      <c r="T19" s="19">
        <v>7819</v>
      </c>
      <c r="U19">
        <v>41.1</v>
      </c>
      <c r="V19" s="22">
        <v>198</v>
      </c>
      <c r="W19" s="24">
        <v>10908</v>
      </c>
      <c r="X19" s="21">
        <f t="shared" si="1"/>
        <v>57.29</v>
      </c>
      <c r="Y19" s="19">
        <v>502665</v>
      </c>
      <c r="Z19" s="21"/>
      <c r="AA19" s="22">
        <v>313</v>
      </c>
    </row>
    <row r="20" spans="1:27" x14ac:dyDescent="0.4">
      <c r="A20" t="s">
        <v>36</v>
      </c>
      <c r="B20" s="17"/>
      <c r="C20" s="18">
        <v>11197</v>
      </c>
      <c r="D20" s="19">
        <v>292602</v>
      </c>
      <c r="E20" s="20">
        <v>26.1</v>
      </c>
      <c r="F20" s="21">
        <v>1.82</v>
      </c>
      <c r="G20">
        <v>92.4</v>
      </c>
      <c r="H20" s="22">
        <v>21.1</v>
      </c>
      <c r="I20" s="23">
        <v>459</v>
      </c>
      <c r="J20">
        <v>4.0999999999999996</v>
      </c>
      <c r="K20">
        <v>3260</v>
      </c>
      <c r="L20">
        <v>29.1</v>
      </c>
      <c r="M20" s="19">
        <v>4858</v>
      </c>
      <c r="N20">
        <v>45.5</v>
      </c>
      <c r="O20" s="19">
        <v>8352</v>
      </c>
      <c r="P20" s="22">
        <v>78.3</v>
      </c>
      <c r="Q20" s="18">
        <v>6854</v>
      </c>
      <c r="R20">
        <v>61.2</v>
      </c>
      <c r="S20">
        <v>1.35</v>
      </c>
      <c r="T20" s="19">
        <v>2801</v>
      </c>
      <c r="U20">
        <v>25</v>
      </c>
      <c r="V20" s="22">
        <v>195</v>
      </c>
      <c r="W20" s="24">
        <v>5757</v>
      </c>
      <c r="X20" s="21">
        <f t="shared" si="1"/>
        <v>51.42</v>
      </c>
      <c r="Y20" s="19">
        <v>501259</v>
      </c>
      <c r="Z20" s="21"/>
      <c r="AA20" s="22">
        <v>284</v>
      </c>
    </row>
    <row r="21" spans="1:27" x14ac:dyDescent="0.4">
      <c r="A21" t="s">
        <v>37</v>
      </c>
      <c r="B21" s="17"/>
      <c r="C21" s="18">
        <v>32019</v>
      </c>
      <c r="D21" s="19">
        <v>620899</v>
      </c>
      <c r="E21" s="20">
        <v>19.399999999999999</v>
      </c>
      <c r="F21" s="21">
        <v>1.71</v>
      </c>
      <c r="G21">
        <v>90.1</v>
      </c>
      <c r="H21" s="22">
        <v>391.8</v>
      </c>
      <c r="I21" s="23">
        <v>823</v>
      </c>
      <c r="J21">
        <v>2.6</v>
      </c>
      <c r="K21">
        <v>5531</v>
      </c>
      <c r="L21">
        <v>17.3</v>
      </c>
      <c r="M21" s="19">
        <v>12469</v>
      </c>
      <c r="N21">
        <v>41.3</v>
      </c>
      <c r="O21" s="19">
        <v>20846</v>
      </c>
      <c r="P21" s="22">
        <v>69</v>
      </c>
      <c r="Q21" s="18">
        <v>10708</v>
      </c>
      <c r="R21">
        <v>33.4</v>
      </c>
      <c r="S21">
        <v>0.75</v>
      </c>
      <c r="T21" s="19">
        <v>16473</v>
      </c>
      <c r="U21">
        <v>51.5</v>
      </c>
      <c r="V21" s="22">
        <v>217</v>
      </c>
      <c r="W21" s="24">
        <v>16072</v>
      </c>
      <c r="X21" s="21">
        <f t="shared" si="1"/>
        <v>50.2</v>
      </c>
      <c r="Y21" s="19">
        <v>985058</v>
      </c>
      <c r="Z21" s="21"/>
      <c r="AA21" s="22">
        <v>312</v>
      </c>
    </row>
    <row r="22" spans="1:27" ht="18" thickBot="1" x14ac:dyDescent="0.45">
      <c r="A22" t="s">
        <v>38</v>
      </c>
      <c r="B22" s="25"/>
      <c r="C22" s="26">
        <v>11838</v>
      </c>
      <c r="D22" s="27">
        <v>229450</v>
      </c>
      <c r="E22" s="28">
        <v>19.399999999999999</v>
      </c>
      <c r="F22" s="29">
        <v>1.45</v>
      </c>
      <c r="G22" s="30">
        <v>93.2</v>
      </c>
      <c r="H22" s="31">
        <v>253.9</v>
      </c>
      <c r="I22" s="32">
        <v>358</v>
      </c>
      <c r="J22" s="30">
        <v>3</v>
      </c>
      <c r="K22" s="30">
        <v>3147</v>
      </c>
      <c r="L22" s="30">
        <v>26.6</v>
      </c>
      <c r="M22" s="27">
        <v>3649</v>
      </c>
      <c r="N22" s="30">
        <v>31.7</v>
      </c>
      <c r="O22" s="27">
        <v>7716</v>
      </c>
      <c r="P22" s="31">
        <v>67</v>
      </c>
      <c r="Q22" s="26">
        <v>6576</v>
      </c>
      <c r="R22" s="30">
        <v>55.6</v>
      </c>
      <c r="S22" s="30">
        <v>1.31</v>
      </c>
      <c r="T22" s="27">
        <v>3139</v>
      </c>
      <c r="U22" s="30">
        <v>26.5</v>
      </c>
      <c r="V22" s="31">
        <v>187</v>
      </c>
      <c r="W22" s="33">
        <v>5241</v>
      </c>
      <c r="X22" s="29">
        <f t="shared" si="1"/>
        <v>44.27</v>
      </c>
      <c r="Y22" s="27">
        <v>279572</v>
      </c>
      <c r="Z22" s="29"/>
      <c r="AA22" s="31">
        <v>296</v>
      </c>
    </row>
  </sheetData>
  <mergeCells count="8">
    <mergeCell ref="C1:H1"/>
    <mergeCell ref="I1:P1"/>
    <mergeCell ref="Q1:V1"/>
    <mergeCell ref="W1:AA1"/>
    <mergeCell ref="C14:H14"/>
    <mergeCell ref="I14:P14"/>
    <mergeCell ref="Q14:V14"/>
    <mergeCell ref="W14:AA14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조상래</dc:creator>
  <cp:lastModifiedBy>조상래</cp:lastModifiedBy>
  <dcterms:created xsi:type="dcterms:W3CDTF">2025-11-20T13:07:13Z</dcterms:created>
  <dcterms:modified xsi:type="dcterms:W3CDTF">2025-11-20T13:08:17Z</dcterms:modified>
</cp:coreProperties>
</file>